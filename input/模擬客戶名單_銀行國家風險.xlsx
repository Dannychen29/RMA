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陳大鈞\Desktop\知識蒸餾\outputs\bank-customer-list\"/>
    </mc:Choice>
  </mc:AlternateContent>
  <xr:revisionPtr revIDLastSave="0" documentId="8_{E3253717-036D-490E-A0E0-95BC358593F5}" xr6:coauthVersionLast="47" xr6:coauthVersionMax="47" xr10:uidLastSave="{00000000-0000-0000-0000-000000000000}"/>
  <bookViews>
    <workbookView xWindow="-110" yWindow="-110" windowWidth="19420" windowHeight="10300" activeTab="1" xr2:uid="{35220988-A900-4A6B-A76C-356A0315EDDE}"/>
  </bookViews>
  <sheets>
    <sheet name="風險評級來源" sheetId="2" r:id="rId1"/>
    <sheet name="模擬客戶名單" sheetId="1" r:id="rId2"/>
  </sheets>
  <definedNames>
    <definedName name="_xlnm._FilterDatabase" localSheetId="0" hidden="1">風險評級來源!$A$1:$G$7</definedName>
    <definedName name="_xlnm._FilterDatabase" localSheetId="1" hidden="1">模擬客戶名單!$A$3:$H$13</definedName>
    <definedName name="_xlnm.Print_Area" localSheetId="1">模擬客戶名單!$A$1:$H$13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3" i="1" l="1"/>
  <c r="G13" i="1"/>
  <c r="F13" i="1"/>
  <c r="H12" i="1"/>
  <c r="G12" i="1"/>
  <c r="F12" i="1"/>
  <c r="H11" i="1"/>
  <c r="G11" i="1"/>
  <c r="F11" i="1"/>
  <c r="H10" i="1"/>
  <c r="G10" i="1"/>
  <c r="F10" i="1"/>
  <c r="H9" i="1"/>
  <c r="G9" i="1"/>
  <c r="F9" i="1"/>
  <c r="H8" i="1"/>
  <c r="G8" i="1"/>
  <c r="F8" i="1"/>
  <c r="H7" i="1"/>
  <c r="G7" i="1"/>
  <c r="F7" i="1"/>
  <c r="H6" i="1"/>
  <c r="G6" i="1"/>
  <c r="F6" i="1"/>
  <c r="H5" i="1"/>
  <c r="G5" i="1"/>
  <c r="F5" i="1"/>
  <c r="H4" i="1"/>
  <c r="G4" i="1"/>
  <c r="F4" i="1"/>
</calcChain>
</file>

<file path=xl/sharedStrings.xml><?xml version="1.0" encoding="utf-8"?>
<sst xmlns="http://schemas.openxmlformats.org/spreadsheetml/2006/main" count="93" uniqueCount="69">
  <si>
    <t>ISO 2 Code</t>
  </si>
  <si>
    <t>國家/地區英文名稱</t>
  </si>
  <si>
    <t>國家/地區中文名稱</t>
  </si>
  <si>
    <t>風險等級</t>
  </si>
  <si>
    <t>範本工作表</t>
  </si>
  <si>
    <t>範本列號</t>
  </si>
  <si>
    <t>來源檔案</t>
  </si>
  <si>
    <t>MM</t>
  </si>
  <si>
    <t>Myanmar (Burma)</t>
  </si>
  <si>
    <t>緬甸</t>
  </si>
  <si>
    <t>高風險</t>
  </si>
  <si>
    <t>銀行國家清單(2026.03)</t>
  </si>
  <si>
    <t>文件範本\00.風險評級\風險評級表_地域風險202603.xlsx</t>
  </si>
  <si>
    <t>VN</t>
  </si>
  <si>
    <t>VietNam</t>
  </si>
  <si>
    <t>越南</t>
  </si>
  <si>
    <t>ID</t>
  </si>
  <si>
    <t>Indonesia</t>
  </si>
  <si>
    <t>印尼</t>
  </si>
  <si>
    <t>中高風險</t>
  </si>
  <si>
    <t>KH</t>
  </si>
  <si>
    <t>Cambodia</t>
  </si>
  <si>
    <t>柬埔寨</t>
  </si>
  <si>
    <t>中風險</t>
  </si>
  <si>
    <t>PH</t>
  </si>
  <si>
    <t>Philippines</t>
  </si>
  <si>
    <t>菲律賓</t>
  </si>
  <si>
    <t>CN</t>
  </si>
  <si>
    <t>China</t>
  </si>
  <si>
    <t>中國</t>
  </si>
  <si>
    <t>BIC</t>
  </si>
  <si>
    <t>KBZ</t>
  </si>
  <si>
    <t>KANBAWZA BANK LTD</t>
  </si>
  <si>
    <t>KBZBMMMY</t>
  </si>
  <si>
    <t>BIDV</t>
  </si>
  <si>
    <t>JOINT STOCK COMMERCIAL BANK FOR INVESTMENT AND DEVELOPMENT OF VIETNAM</t>
  </si>
  <si>
    <t>BIDVVNVX</t>
  </si>
  <si>
    <t>IVB</t>
  </si>
  <si>
    <t>INDOVINA BANK LTD., HO CHI MINH CITY</t>
  </si>
  <si>
    <t>IABBVNVX</t>
  </si>
  <si>
    <t>VietinBank</t>
  </si>
  <si>
    <t>VIETNAM JOINT STOCK COMMERCIAL BANK</t>
  </si>
  <si>
    <t>ICBVVNVX</t>
  </si>
  <si>
    <t>Mayapada</t>
  </si>
  <si>
    <t>PT BANK MAYAPADA INTERNASIONAL TBK</t>
  </si>
  <si>
    <t>MAYAIDJA</t>
  </si>
  <si>
    <t>Myanmar Oriental Bank</t>
  </si>
  <si>
    <t>MYANMAR ORIENTAL BANK</t>
  </si>
  <si>
    <t>MYORMMMY</t>
  </si>
  <si>
    <t>CB Bank</t>
  </si>
  <si>
    <t>CO-OPERATIVE BANK LTD</t>
  </si>
  <si>
    <t>CPOBMMMY</t>
  </si>
  <si>
    <t>CUBC</t>
  </si>
  <si>
    <t>CATHAY UNITED BANK (CAMBODIA)</t>
  </si>
  <si>
    <t>CSBCKHPP</t>
  </si>
  <si>
    <t>RCBC</t>
  </si>
  <si>
    <t>RCBC, RIZAL COMMERCIAL BANKING CORP.</t>
  </si>
  <si>
    <t>RCBCPHMM</t>
  </si>
  <si>
    <t>Cathay United Bank (China)</t>
  </si>
  <si>
    <t>CATHAY UNITED BANK (CHINA)</t>
  </si>
  <si>
    <t>UWCBCNSH</t>
  </si>
  <si>
    <r>
      <rPr>
        <b/>
        <sz val="12"/>
        <color rgb="FFFFFFFF"/>
        <rFont val="新細明體"/>
        <family val="1"/>
        <charset val="136"/>
      </rPr>
      <t>序號</t>
    </r>
  </si>
  <si>
    <r>
      <rPr>
        <b/>
        <sz val="12"/>
        <color rgb="FFFFFFFF"/>
        <rFont val="新細明體"/>
        <family val="1"/>
        <charset val="136"/>
      </rPr>
      <t>銀行簡稱</t>
    </r>
  </si>
  <si>
    <r>
      <rPr>
        <b/>
        <sz val="12"/>
        <color rgb="FFFFFFFF"/>
        <rFont val="新細明體"/>
        <family val="1"/>
        <charset val="136"/>
      </rPr>
      <t>銀行英文全名</t>
    </r>
  </si>
  <si>
    <r>
      <rPr>
        <b/>
        <sz val="12"/>
        <color rgb="FFFFFFFF"/>
        <rFont val="新細明體"/>
        <family val="1"/>
        <charset val="136"/>
      </rPr>
      <t>國家</t>
    </r>
    <r>
      <rPr>
        <b/>
        <sz val="12"/>
        <color rgb="FFFFFFFF"/>
        <rFont val="Arial"/>
        <family val="2"/>
      </rPr>
      <t>/</t>
    </r>
    <r>
      <rPr>
        <b/>
        <sz val="12"/>
        <color rgb="FFFFFFFF"/>
        <rFont val="新細明體"/>
        <family val="1"/>
        <charset val="136"/>
      </rPr>
      <t>地區英文名稱</t>
    </r>
  </si>
  <si>
    <r>
      <rPr>
        <b/>
        <sz val="12"/>
        <color rgb="FFFFFFFF"/>
        <rFont val="新細明體"/>
        <family val="1"/>
        <charset val="136"/>
      </rPr>
      <t>國家</t>
    </r>
    <r>
      <rPr>
        <b/>
        <sz val="12"/>
        <color rgb="FFFFFFFF"/>
        <rFont val="Arial"/>
        <family val="2"/>
      </rPr>
      <t>/</t>
    </r>
    <r>
      <rPr>
        <b/>
        <sz val="12"/>
        <color rgb="FFFFFFFF"/>
        <rFont val="新細明體"/>
        <family val="1"/>
        <charset val="136"/>
      </rPr>
      <t>地區中文名稱</t>
    </r>
  </si>
  <si>
    <r>
      <rPr>
        <b/>
        <sz val="12"/>
        <color rgb="FFFFFFFF"/>
        <rFont val="新細明體"/>
        <family val="1"/>
        <charset val="136"/>
      </rPr>
      <t>國家風險等級</t>
    </r>
  </si>
  <si>
    <r>
      <rPr>
        <b/>
        <sz val="16"/>
        <color theme="1"/>
        <rFont val="新細明體"/>
        <family val="1"/>
        <charset val="136"/>
      </rPr>
      <t>模擬客戶名單－銀行國家風險</t>
    </r>
  </si>
  <si>
    <r>
      <rPr>
        <sz val="12"/>
        <color rgb="FF808080"/>
        <rFont val="新細明體"/>
        <family val="2"/>
        <charset val="136"/>
      </rPr>
      <t>國家風險依「風險評級表</t>
    </r>
    <r>
      <rPr>
        <sz val="12"/>
        <color rgb="FF808080"/>
        <rFont val="Arial"/>
        <family val="2"/>
      </rPr>
      <t>_</t>
    </r>
    <r>
      <rPr>
        <sz val="12"/>
        <color rgb="FF808080"/>
        <rFont val="新細明體"/>
        <family val="2"/>
        <charset val="136"/>
      </rPr>
      <t>地域風險</t>
    </r>
    <r>
      <rPr>
        <sz val="12"/>
        <color rgb="FF808080"/>
        <rFont val="Arial"/>
        <family val="2"/>
      </rPr>
      <t>202603.xlsx</t>
    </r>
    <r>
      <rPr>
        <sz val="12"/>
        <color rgb="FF808080"/>
        <rFont val="新細明體"/>
        <family val="2"/>
        <charset val="136"/>
      </rPr>
      <t>／銀行國家清單</t>
    </r>
    <r>
      <rPr>
        <sz val="12"/>
        <color rgb="FF808080"/>
        <rFont val="Arial"/>
        <family val="2"/>
      </rPr>
      <t>(2026.03)</t>
    </r>
    <r>
      <rPr>
        <sz val="12"/>
        <color rgb="FF808080"/>
        <rFont val="新細明體"/>
        <family val="2"/>
        <charset val="136"/>
      </rPr>
      <t>」帶入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</si>
</sst>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新細明體"/>
      <family val="2"/>
      <charset val="136"/>
      <scheme val="minor"/>
    </font>
    <font>
      <b/>
      <sz val="12"/>
      <color rgb="FFFFFFFF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FFFFFF"/>
      <name val="Arial"/>
      <family val="2"/>
    </font>
    <font>
      <b/>
      <sz val="12"/>
      <color rgb="FFFFFFFF"/>
      <name val="新細明體"/>
      <family val="1"/>
      <charset val="136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b/>
      <sz val="16"/>
      <color theme="1"/>
      <name val="新細明體"/>
      <family val="1"/>
      <charset val="136"/>
    </font>
    <font>
      <sz val="12"/>
      <color rgb="FF808080"/>
      <name val="Arial"/>
      <family val="2"/>
    </font>
    <font>
      <sz val="12"/>
      <color rgb="FF808080"/>
      <name val="新細明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1F497D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3" fillId="2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49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6" fillId="0" borderId="0" xfId="0" applyFont="1">
      <alignment vertical="center"/>
    </xf>
  </cellXfs>
  <cellStyles count="1">
    <cellStyle name="一般" xfId="0" builtinId="0"/>
  </cellStyles>
  <dxfs count="3"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CC794-3B52-43A8-B8BB-1EC04252ABE3}">
  <dimension ref="A1:G7"/>
  <sheetViews>
    <sheetView workbookViewId="0"/>
  </sheetViews>
  <sheetFormatPr defaultRowHeight="17" x14ac:dyDescent="0.4"/>
  <cols>
    <col min="1" max="1" width="14.36328125" bestFit="1" customWidth="1"/>
    <col min="2" max="3" width="23.1796875" bestFit="1" customWidth="1"/>
    <col min="4" max="4" width="12.6328125" bestFit="1" customWidth="1"/>
    <col min="5" max="5" width="23.36328125" bestFit="1" customWidth="1"/>
    <col min="6" max="6" width="12.6328125" bestFit="1" customWidth="1"/>
    <col min="7" max="7" width="55.6328125" customWidth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156</v>
      </c>
      <c r="G2" s="2" t="s">
        <v>12</v>
      </c>
    </row>
    <row r="3" spans="1:7" x14ac:dyDescent="0.4">
      <c r="A3" s="2" t="s">
        <v>13</v>
      </c>
      <c r="B3" s="2" t="s">
        <v>14</v>
      </c>
      <c r="C3" s="2" t="s">
        <v>15</v>
      </c>
      <c r="D3" s="2" t="s">
        <v>10</v>
      </c>
      <c r="E3" s="2" t="s">
        <v>11</v>
      </c>
      <c r="F3" s="2">
        <v>247</v>
      </c>
      <c r="G3" s="2" t="s">
        <v>12</v>
      </c>
    </row>
    <row r="4" spans="1:7" x14ac:dyDescent="0.4">
      <c r="A4" s="2" t="s">
        <v>16</v>
      </c>
      <c r="B4" s="2" t="s">
        <v>17</v>
      </c>
      <c r="C4" s="2" t="s">
        <v>18</v>
      </c>
      <c r="D4" s="2" t="s">
        <v>19</v>
      </c>
      <c r="E4" s="2" t="s">
        <v>11</v>
      </c>
      <c r="F4" s="2">
        <v>106</v>
      </c>
      <c r="G4" s="2" t="s">
        <v>12</v>
      </c>
    </row>
    <row r="5" spans="1:7" x14ac:dyDescent="0.4">
      <c r="A5" s="2" t="s">
        <v>20</v>
      </c>
      <c r="B5" s="2" t="s">
        <v>21</v>
      </c>
      <c r="C5" s="2" t="s">
        <v>22</v>
      </c>
      <c r="D5" s="2" t="s">
        <v>23</v>
      </c>
      <c r="E5" s="2" t="s">
        <v>11</v>
      </c>
      <c r="F5" s="2">
        <v>41</v>
      </c>
      <c r="G5" s="2" t="s">
        <v>12</v>
      </c>
    </row>
    <row r="6" spans="1:7" x14ac:dyDescent="0.4">
      <c r="A6" s="2" t="s">
        <v>24</v>
      </c>
      <c r="B6" s="2" t="s">
        <v>25</v>
      </c>
      <c r="C6" s="2" t="s">
        <v>26</v>
      </c>
      <c r="D6" s="2" t="s">
        <v>19</v>
      </c>
      <c r="E6" s="2" t="s">
        <v>11</v>
      </c>
      <c r="F6" s="2">
        <v>179</v>
      </c>
      <c r="G6" s="2" t="s">
        <v>12</v>
      </c>
    </row>
    <row r="7" spans="1:7" x14ac:dyDescent="0.4">
      <c r="A7" s="2" t="s">
        <v>27</v>
      </c>
      <c r="B7" s="2" t="s">
        <v>28</v>
      </c>
      <c r="C7" s="2" t="s">
        <v>29</v>
      </c>
      <c r="D7" s="2" t="s">
        <v>19</v>
      </c>
      <c r="E7" s="2" t="s">
        <v>11</v>
      </c>
      <c r="F7" s="2">
        <v>48</v>
      </c>
      <c r="G7" s="2" t="s">
        <v>12</v>
      </c>
    </row>
  </sheetData>
  <autoFilter ref="A1:G7" xr:uid="{7F7CC794-3B52-43A8-B8BB-1EC04252ABE3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B85F7-E5A0-4644-80BF-8AB72D2E4544}">
  <sheetPr>
    <pageSetUpPr fitToPage="1"/>
  </sheetPr>
  <dimension ref="A1:H13"/>
  <sheetViews>
    <sheetView showGridLines="0" tabSelected="1" workbookViewId="0">
      <pane ySplit="3" topLeftCell="A4" activePane="bottomLeft" state="frozenSplit"/>
      <selection pane="bottomLeft" sqref="A1:H1"/>
    </sheetView>
  </sheetViews>
  <sheetFormatPr defaultRowHeight="17" x14ac:dyDescent="0.4"/>
  <cols>
    <col min="1" max="1" width="8.6328125" customWidth="1"/>
    <col min="2" max="2" width="27.6328125" customWidth="1"/>
    <col min="3" max="3" width="55.6328125" customWidth="1"/>
    <col min="4" max="4" width="16.6328125" customWidth="1"/>
    <col min="5" max="5" width="12.6328125" customWidth="1"/>
    <col min="6" max="6" width="24.6328125" customWidth="1"/>
    <col min="7" max="7" width="20.6328125" customWidth="1"/>
    <col min="8" max="8" width="16.6328125" customWidth="1"/>
  </cols>
  <sheetData>
    <row r="1" spans="1:8" ht="28" customHeight="1" x14ac:dyDescent="0.4">
      <c r="A1" s="9" t="s">
        <v>67</v>
      </c>
      <c r="B1" s="10"/>
      <c r="C1" s="10"/>
      <c r="D1" s="10"/>
      <c r="E1" s="10"/>
      <c r="F1" s="10"/>
      <c r="G1" s="10"/>
      <c r="H1" s="10"/>
    </row>
    <row r="2" spans="1:8" ht="22" customHeight="1" x14ac:dyDescent="0.4">
      <c r="A2" s="11" t="s">
        <v>68</v>
      </c>
      <c r="B2" s="12"/>
      <c r="C2" s="12"/>
      <c r="D2" s="12"/>
      <c r="E2" s="12"/>
      <c r="F2" s="12"/>
      <c r="G2" s="12"/>
      <c r="H2" s="12"/>
    </row>
    <row r="3" spans="1:8" ht="34" customHeight="1" x14ac:dyDescent="0.4">
      <c r="A3" s="3" t="s">
        <v>61</v>
      </c>
      <c r="B3" s="3" t="s">
        <v>62</v>
      </c>
      <c r="C3" s="3" t="s">
        <v>63</v>
      </c>
      <c r="D3" s="3" t="s">
        <v>30</v>
      </c>
      <c r="E3" s="3" t="s">
        <v>0</v>
      </c>
      <c r="F3" s="3" t="s">
        <v>64</v>
      </c>
      <c r="G3" s="3" t="s">
        <v>65</v>
      </c>
      <c r="H3" s="3" t="s">
        <v>66</v>
      </c>
    </row>
    <row r="4" spans="1:8" ht="32" customHeight="1" x14ac:dyDescent="0.4">
      <c r="A4" s="4">
        <v>1</v>
      </c>
      <c r="B4" s="5" t="s">
        <v>31</v>
      </c>
      <c r="C4" s="6" t="s">
        <v>32</v>
      </c>
      <c r="D4" s="7" t="s">
        <v>33</v>
      </c>
      <c r="E4" s="7" t="s">
        <v>7</v>
      </c>
      <c r="F4" s="5" t="str">
        <f>IFERROR(VLOOKUP(E4,風險評級來源!$A$2:$D$7,2,FALSE),"" )</f>
        <v>Myanmar (Burma)</v>
      </c>
      <c r="G4" s="8" t="str">
        <f>IFERROR(VLOOKUP(E4,風險評級來源!$A$2:$D$7,3,FALSE),"" )</f>
        <v>緬甸</v>
      </c>
      <c r="H4" s="8" t="str">
        <f>IFERROR(VLOOKUP(E4,風險評級來源!$A$2:$D$7,4,FALSE),"" )</f>
        <v>高風險</v>
      </c>
    </row>
    <row r="5" spans="1:8" ht="32" customHeight="1" x14ac:dyDescent="0.4">
      <c r="A5" s="4">
        <v>2</v>
      </c>
      <c r="B5" s="5" t="s">
        <v>34</v>
      </c>
      <c r="C5" s="6" t="s">
        <v>35</v>
      </c>
      <c r="D5" s="7" t="s">
        <v>36</v>
      </c>
      <c r="E5" s="7" t="s">
        <v>13</v>
      </c>
      <c r="F5" s="5" t="str">
        <f>IFERROR(VLOOKUP(E5,風險評級來源!$A$2:$D$7,2,FALSE),"" )</f>
        <v>VietNam</v>
      </c>
      <c r="G5" s="8" t="str">
        <f>IFERROR(VLOOKUP(E5,風險評級來源!$A$2:$D$7,3,FALSE),"" )</f>
        <v>越南</v>
      </c>
      <c r="H5" s="8" t="str">
        <f>IFERROR(VLOOKUP(E5,風險評級來源!$A$2:$D$7,4,FALSE),"" )</f>
        <v>高風險</v>
      </c>
    </row>
    <row r="6" spans="1:8" ht="32" customHeight="1" x14ac:dyDescent="0.4">
      <c r="A6" s="4">
        <v>3</v>
      </c>
      <c r="B6" s="5" t="s">
        <v>37</v>
      </c>
      <c r="C6" s="6" t="s">
        <v>38</v>
      </c>
      <c r="D6" s="7" t="s">
        <v>39</v>
      </c>
      <c r="E6" s="7" t="s">
        <v>13</v>
      </c>
      <c r="F6" s="5" t="str">
        <f>IFERROR(VLOOKUP(E6,風險評級來源!$A$2:$D$7,2,FALSE),"" )</f>
        <v>VietNam</v>
      </c>
      <c r="G6" s="8" t="str">
        <f>IFERROR(VLOOKUP(E6,風險評級來源!$A$2:$D$7,3,FALSE),"" )</f>
        <v>越南</v>
      </c>
      <c r="H6" s="8" t="str">
        <f>IFERROR(VLOOKUP(E6,風險評級來源!$A$2:$D$7,4,FALSE),"" )</f>
        <v>高風險</v>
      </c>
    </row>
    <row r="7" spans="1:8" ht="32" customHeight="1" x14ac:dyDescent="0.4">
      <c r="A7" s="4">
        <v>4</v>
      </c>
      <c r="B7" s="5" t="s">
        <v>40</v>
      </c>
      <c r="C7" s="6" t="s">
        <v>41</v>
      </c>
      <c r="D7" s="7" t="s">
        <v>42</v>
      </c>
      <c r="E7" s="7" t="s">
        <v>13</v>
      </c>
      <c r="F7" s="5" t="str">
        <f>IFERROR(VLOOKUP(E7,風險評級來源!$A$2:$D$7,2,FALSE),"" )</f>
        <v>VietNam</v>
      </c>
      <c r="G7" s="8" t="str">
        <f>IFERROR(VLOOKUP(E7,風險評級來源!$A$2:$D$7,3,FALSE),"" )</f>
        <v>越南</v>
      </c>
      <c r="H7" s="8" t="str">
        <f>IFERROR(VLOOKUP(E7,風險評級來源!$A$2:$D$7,4,FALSE),"" )</f>
        <v>高風險</v>
      </c>
    </row>
    <row r="8" spans="1:8" ht="32" customHeight="1" x14ac:dyDescent="0.4">
      <c r="A8" s="4">
        <v>5</v>
      </c>
      <c r="B8" s="5" t="s">
        <v>43</v>
      </c>
      <c r="C8" s="6" t="s">
        <v>44</v>
      </c>
      <c r="D8" s="7" t="s">
        <v>45</v>
      </c>
      <c r="E8" s="7" t="s">
        <v>16</v>
      </c>
      <c r="F8" s="5" t="str">
        <f>IFERROR(VLOOKUP(E8,風險評級來源!$A$2:$D$7,2,FALSE),"" )</f>
        <v>Indonesia</v>
      </c>
      <c r="G8" s="8" t="str">
        <f>IFERROR(VLOOKUP(E8,風險評級來源!$A$2:$D$7,3,FALSE),"" )</f>
        <v>印尼</v>
      </c>
      <c r="H8" s="8" t="str">
        <f>IFERROR(VLOOKUP(E8,風險評級來源!$A$2:$D$7,4,FALSE),"" )</f>
        <v>中高風險</v>
      </c>
    </row>
    <row r="9" spans="1:8" ht="32" customHeight="1" x14ac:dyDescent="0.4">
      <c r="A9" s="4">
        <v>6</v>
      </c>
      <c r="B9" s="5" t="s">
        <v>46</v>
      </c>
      <c r="C9" s="6" t="s">
        <v>47</v>
      </c>
      <c r="D9" s="7" t="s">
        <v>48</v>
      </c>
      <c r="E9" s="7" t="s">
        <v>7</v>
      </c>
      <c r="F9" s="5" t="str">
        <f>IFERROR(VLOOKUP(E9,風險評級來源!$A$2:$D$7,2,FALSE),"" )</f>
        <v>Myanmar (Burma)</v>
      </c>
      <c r="G9" s="8" t="str">
        <f>IFERROR(VLOOKUP(E9,風險評級來源!$A$2:$D$7,3,FALSE),"" )</f>
        <v>緬甸</v>
      </c>
      <c r="H9" s="8" t="str">
        <f>IFERROR(VLOOKUP(E9,風險評級來源!$A$2:$D$7,4,FALSE),"" )</f>
        <v>高風險</v>
      </c>
    </row>
    <row r="10" spans="1:8" ht="32" customHeight="1" x14ac:dyDescent="0.4">
      <c r="A10" s="4">
        <v>7</v>
      </c>
      <c r="B10" s="5" t="s">
        <v>49</v>
      </c>
      <c r="C10" s="6" t="s">
        <v>50</v>
      </c>
      <c r="D10" s="7" t="s">
        <v>51</v>
      </c>
      <c r="E10" s="7" t="s">
        <v>7</v>
      </c>
      <c r="F10" s="5" t="str">
        <f>IFERROR(VLOOKUP(E10,風險評級來源!$A$2:$D$7,2,FALSE),"" )</f>
        <v>Myanmar (Burma)</v>
      </c>
      <c r="G10" s="8" t="str">
        <f>IFERROR(VLOOKUP(E10,風險評級來源!$A$2:$D$7,3,FALSE),"" )</f>
        <v>緬甸</v>
      </c>
      <c r="H10" s="8" t="str">
        <f>IFERROR(VLOOKUP(E10,風險評級來源!$A$2:$D$7,4,FALSE),"" )</f>
        <v>高風險</v>
      </c>
    </row>
    <row r="11" spans="1:8" ht="32" customHeight="1" x14ac:dyDescent="0.4">
      <c r="A11" s="4">
        <v>8</v>
      </c>
      <c r="B11" s="5" t="s">
        <v>52</v>
      </c>
      <c r="C11" s="6" t="s">
        <v>53</v>
      </c>
      <c r="D11" s="7" t="s">
        <v>54</v>
      </c>
      <c r="E11" s="7" t="s">
        <v>20</v>
      </c>
      <c r="F11" s="5" t="str">
        <f>IFERROR(VLOOKUP(E11,風險評級來源!$A$2:$D$7,2,FALSE),"" )</f>
        <v>Cambodia</v>
      </c>
      <c r="G11" s="8" t="str">
        <f>IFERROR(VLOOKUP(E11,風險評級來源!$A$2:$D$7,3,FALSE),"" )</f>
        <v>柬埔寨</v>
      </c>
      <c r="H11" s="8" t="str">
        <f>IFERROR(VLOOKUP(E11,風險評級來源!$A$2:$D$7,4,FALSE),"" )</f>
        <v>中風險</v>
      </c>
    </row>
    <row r="12" spans="1:8" ht="32" customHeight="1" x14ac:dyDescent="0.4">
      <c r="A12" s="4">
        <v>9</v>
      </c>
      <c r="B12" s="5" t="s">
        <v>55</v>
      </c>
      <c r="C12" s="6" t="s">
        <v>56</v>
      </c>
      <c r="D12" s="7" t="s">
        <v>57</v>
      </c>
      <c r="E12" s="7" t="s">
        <v>24</v>
      </c>
      <c r="F12" s="5" t="str">
        <f>IFERROR(VLOOKUP(E12,風險評級來源!$A$2:$D$7,2,FALSE),"" )</f>
        <v>Philippines</v>
      </c>
      <c r="G12" s="8" t="str">
        <f>IFERROR(VLOOKUP(E12,風險評級來源!$A$2:$D$7,3,FALSE),"" )</f>
        <v>菲律賓</v>
      </c>
      <c r="H12" s="8" t="str">
        <f>IFERROR(VLOOKUP(E12,風險評級來源!$A$2:$D$7,4,FALSE),"" )</f>
        <v>中高風險</v>
      </c>
    </row>
    <row r="13" spans="1:8" ht="32" customHeight="1" x14ac:dyDescent="0.4">
      <c r="A13" s="4">
        <v>10</v>
      </c>
      <c r="B13" s="5" t="s">
        <v>58</v>
      </c>
      <c r="C13" s="6" t="s">
        <v>59</v>
      </c>
      <c r="D13" s="7" t="s">
        <v>60</v>
      </c>
      <c r="E13" s="7" t="s">
        <v>27</v>
      </c>
      <c r="F13" s="5" t="str">
        <f>IFERROR(VLOOKUP(E13,風險評級來源!$A$2:$D$7,2,FALSE),"" )</f>
        <v>China</v>
      </c>
      <c r="G13" s="8" t="str">
        <f>IFERROR(VLOOKUP(E13,風險評級來源!$A$2:$D$7,3,FALSE),"" )</f>
        <v>中國</v>
      </c>
      <c r="H13" s="8" t="str">
        <f>IFERROR(VLOOKUP(E13,風險評級來源!$A$2:$D$7,4,FALSE),"" )</f>
        <v>中高風險</v>
      </c>
    </row>
  </sheetData>
  <autoFilter ref="A3:H13" xr:uid="{068B85F7-E5A0-4644-80BF-8AB72D2E4544}"/>
  <mergeCells count="2">
    <mergeCell ref="A1:H1"/>
    <mergeCell ref="A2:H2"/>
  </mergeCells>
  <phoneticPr fontId="2" type="noConversion"/>
  <conditionalFormatting sqref="H4:H13">
    <cfRule type="cellIs" dxfId="2" priority="1" stopIfTrue="1" operator="equal">
      <formula>"高風險"</formula>
    </cfRule>
    <cfRule type="cellIs" dxfId="1" priority="2" stopIfTrue="1" operator="equal">
      <formula>"中高風險"</formula>
    </cfRule>
    <cfRule type="cellIs" dxfId="0" priority="3" stopIfTrue="1" operator="equal">
      <formula>"中風險"</formula>
    </cfRule>
  </conditionalFormatting>
  <pageMargins left="0.7" right="0.7" top="0.75" bottom="0.75" header="0.3" footer="0.3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風險評級來源</vt:lpstr>
      <vt:lpstr>模擬客戶名單</vt:lpstr>
      <vt:lpstr>模擬客戶名單!Print_Area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陳大鈞</dc:creator>
  <cp:lastModifiedBy>陳大鈞</cp:lastModifiedBy>
  <dcterms:created xsi:type="dcterms:W3CDTF">2026-08-19T01:32:33Z</dcterms:created>
  <dcterms:modified xsi:type="dcterms:W3CDTF">2026-08-19T01:32:40Z</dcterms:modified>
</cp:coreProperties>
</file>